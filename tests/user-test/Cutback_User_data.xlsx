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IPM\Cutback\tests\用户测试素材与数据\"/>
    </mc:Choice>
  </mc:AlternateContent>
  <xr:revisionPtr revIDLastSave="0" documentId="13_ncr:1_{DCEEDE98-42B7-4F44-B0B2-AE3116107B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views" sheetId="1" r:id="rId1"/>
    <sheet name="Users" sheetId="2" r:id="rId2"/>
  </sheets>
  <definedNames>
    <definedName name="_xlnm._FilterDatabase" localSheetId="0" hidden="1">Reviews!$G$1:$G$2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" l="1"/>
  <c r="M4" i="1"/>
  <c r="M3" i="1"/>
  <c r="M2" i="1"/>
  <c r="M1" i="1"/>
</calcChain>
</file>

<file path=xl/sharedStrings.xml><?xml version="1.0" encoding="utf-8"?>
<sst xmlns="http://schemas.openxmlformats.org/spreadsheetml/2006/main" count="38" uniqueCount="35">
  <si>
    <t>Video_ID</t>
  </si>
  <si>
    <t>Bad_Case</t>
  </si>
  <si>
    <t>User_ID</t>
    <phoneticPr fontId="1" type="noConversion"/>
  </si>
  <si>
    <t>User 决策</t>
    <phoneticPr fontId="1" type="noConversion"/>
  </si>
  <si>
    <t>Agent 回应</t>
    <phoneticPr fontId="1" type="noConversion"/>
  </si>
  <si>
    <t>Agent 动作</t>
    <phoneticPr fontId="1" type="noConversion"/>
  </si>
  <si>
    <t>Agent 状态</t>
    <phoneticPr fontId="1" type="noConversion"/>
  </si>
  <si>
    <t>Review 内容</t>
    <phoneticPr fontId="1" type="noConversion"/>
  </si>
  <si>
    <t>删除10-20s</t>
    <phoneticPr fontId="1" type="noConversion"/>
  </si>
  <si>
    <t>ACTION</t>
    <phoneticPr fontId="1" type="noConversion"/>
  </si>
  <si>
    <t>DELETE</t>
  </si>
  <si>
    <t>建议删除10s-20s</t>
    <phoneticPr fontId="1" type="noConversion"/>
  </si>
  <si>
    <t>Accept</t>
    <phoneticPr fontId="1" type="noConversion"/>
  </si>
  <si>
    <t>User 真实意图</t>
    <phoneticPr fontId="1" type="noConversion"/>
  </si>
  <si>
    <t>是否符合User预期</t>
    <phoneticPr fontId="1" type="noConversion"/>
  </si>
  <si>
    <t>是</t>
  </si>
  <si>
    <t>剪辑经验（过去一年剪辑数量）</t>
    <phoneticPr fontId="1" type="noConversion"/>
  </si>
  <si>
    <t>真实使用意愿（五分制）</t>
    <phoneticPr fontId="1" type="noConversion"/>
  </si>
  <si>
    <t>控制感（五分制）</t>
    <phoneticPr fontId="1" type="noConversion"/>
  </si>
  <si>
    <t>最大问题</t>
    <phoneticPr fontId="1" type="noConversion"/>
  </si>
  <si>
    <t>下一能力</t>
    <phoneticPr fontId="1" type="noConversion"/>
  </si>
  <si>
    <t>U00</t>
    <phoneticPr fontId="1" type="noConversion"/>
  </si>
  <si>
    <t>V00</t>
    <phoneticPr fontId="1" type="noConversion"/>
  </si>
  <si>
    <t>用户如何指向视频中的位置</t>
    <phoneticPr fontId="1" type="noConversion"/>
  </si>
  <si>
    <t>无</t>
  </si>
  <si>
    <t>明确时间码</t>
  </si>
  <si>
    <t>6-20</t>
  </si>
  <si>
    <t>不支持动作</t>
    <phoneticPr fontId="1" type="noConversion"/>
  </si>
  <si>
    <t>新增倍速能力</t>
    <phoneticPr fontId="1" type="noConversion"/>
  </si>
  <si>
    <t>动作覆盖率</t>
    <phoneticPr fontId="1" type="noConversion"/>
  </si>
  <si>
    <t>Agent 决策通过率</t>
    <phoneticPr fontId="1" type="noConversion"/>
  </si>
  <si>
    <t>Modify 率</t>
    <phoneticPr fontId="1" type="noConversion"/>
  </si>
  <si>
    <t>授权判断错误率</t>
    <phoneticPr fontId="1" type="noConversion"/>
  </si>
  <si>
    <t>符合User 预期率</t>
    <phoneticPr fontId="1" type="noConversion"/>
  </si>
  <si>
    <t>Bad Case 分布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</si>
</sst>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/>
    <xf numFmtId="49" fontId="0" fillId="3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85" zoomScaleNormal="85" workbookViewId="0">
      <selection activeCell="L2" sqref="L2"/>
    </sheetView>
  </sheetViews>
  <sheetFormatPr defaultRowHeight="14" x14ac:dyDescent="0.3"/>
  <cols>
    <col min="1" max="9" width="15.58203125" style="1" customWidth="1"/>
    <col min="10" max="10" width="23.83203125" style="1" customWidth="1"/>
    <col min="11" max="11" width="15.58203125" style="1" customWidth="1"/>
    <col min="12" max="12" width="21.58203125" style="1" customWidth="1"/>
    <col min="13" max="16384" width="8.6640625" style="1"/>
  </cols>
  <sheetData>
    <row r="1" spans="1:13" x14ac:dyDescent="0.3">
      <c r="A1" s="2" t="s">
        <v>2</v>
      </c>
      <c r="B1" s="2" t="s">
        <v>0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13</v>
      </c>
      <c r="I1" s="2" t="s">
        <v>14</v>
      </c>
      <c r="J1" s="2" t="s">
        <v>23</v>
      </c>
      <c r="K1" s="2" t="s">
        <v>1</v>
      </c>
      <c r="L1" s="1" t="s">
        <v>29</v>
      </c>
      <c r="M1" s="1">
        <f>IFERROR((COUNTIF(H3:H1000,"DELETE")+COUNTIF(H3:H1000,"MOVE"))/(COUNTIF(H3:H1000,"DELETE")+COUNTIF(H3:H1000,"MOVE")+COUNTIF(H3:H1000,"OTHER_EDIT")),0)</f>
        <v>0</v>
      </c>
    </row>
    <row r="2" spans="1:13" x14ac:dyDescent="0.3">
      <c r="A2" s="5" t="s">
        <v>21</v>
      </c>
      <c r="B2" s="5" t="s">
        <v>22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10</v>
      </c>
      <c r="I2" s="5" t="s">
        <v>15</v>
      </c>
      <c r="J2" s="5" t="s">
        <v>25</v>
      </c>
      <c r="K2" s="5" t="s">
        <v>24</v>
      </c>
      <c r="L2" s="1" t="s">
        <v>30</v>
      </c>
      <c r="M2" s="1">
        <f>IFERROR(COUNTIF(G3:G1000,"Accept")/(COUNTIF(G3:G1000,"Accept")+COUNTIF(G3:G1000,"Modify")+COUNTIF(G3:G1000,"Reject")),0)</f>
        <v>0</v>
      </c>
    </row>
    <row r="3" spans="1:13" x14ac:dyDescent="0.3">
      <c r="L3" s="1" t="s">
        <v>31</v>
      </c>
      <c r="M3" s="1">
        <f>IFERROR(COUNTIF(G3:G1000,"Modify")/(COUNTIF(G3:G1000,"Accept")+COUNTIF(G3:G1000,"Modify")+COUNTIF(G3:G1000,"Reject")),0)</f>
        <v>0</v>
      </c>
    </row>
    <row r="4" spans="1:13" x14ac:dyDescent="0.3">
      <c r="L4" s="1" t="s">
        <v>32</v>
      </c>
      <c r="M4" s="1">
        <f>IFERROR(COUNTIFS(L3:L1000,"否",D3:D1000,"ACTION")/COUNTIF(L3:L1000,"否"),0)</f>
        <v>0</v>
      </c>
    </row>
    <row r="5" spans="1:13" x14ac:dyDescent="0.3">
      <c r="L5" s="1" t="s">
        <v>33</v>
      </c>
      <c r="M5" s="1">
        <f>IFERROR(COUNTIF(I3:I1000,"是")/(COUNTIF(I3:I1000,"是")+COUNTIF(I3:I1000,"否")),0)</f>
        <v>0</v>
      </c>
    </row>
    <row r="6" spans="1:13" x14ac:dyDescent="0.3">
      <c r="L6" s="1" t="s">
        <v>34</v>
      </c>
    </row>
  </sheetData>
  <dataConsolidate/>
  <phoneticPr fontId="1" type="noConversion"/>
  <dataValidations xWindow="1227" yWindow="416" count="7">
    <dataValidation type="list" allowBlank="1" showInputMessage="1" showErrorMessage="1" sqref="G2:G1048576" xr:uid="{21F3AE6F-2629-4401-A69A-A618D6FDD500}">
      <formula1>"Accept,Modify,Reject"</formula1>
    </dataValidation>
    <dataValidation type="list" allowBlank="1" showInputMessage="1" showErrorMessage="1" sqref="E2:E1048576" xr:uid="{17D8E681-5004-4B9F-9016-F5F1906277D8}">
      <formula1>"DELETE,MOVE,None"</formula1>
    </dataValidation>
    <dataValidation type="list" allowBlank="1" showInputMessage="1" showErrorMessage="1" sqref="D2:D1048576" xr:uid="{060D828E-9CC8-4E62-AA41-9A1D9E1F12C5}">
      <formula1>"ACTION,CLARIFY,NO_ACTION"</formula1>
    </dataValidation>
    <dataValidation type="list" allowBlank="1" showInputMessage="1" showErrorMessage="1" sqref="I2:I1048576" xr:uid="{08E19ADD-403A-4C3D-A903-B1DF0B183EE4}">
      <formula1>"是,否"</formula1>
    </dataValidation>
    <dataValidation type="list" allowBlank="1" showInputMessage="1" showErrorMessage="1" sqref="J2:J1048576" xr:uid="{6E3820EB-CBA5-4D9C-A299-9E3A2164EB06}">
      <formula1>"明确时间码,相对位置,用内容语义定位,没有位置描述"</formula1>
    </dataValidation>
    <dataValidation type="list" allowBlank="1" showInputMessage="1" showErrorMessage="1" sqref="K2:K1048576" xr:uid="{8A3FE846-065C-476B-BD4C-4B8FF4EA7C5D}">
      <formula1>"授权判断错误,意图理解错误,定位错误,不支持动作,执行错误,无"</formula1>
    </dataValidation>
    <dataValidation type="list" allowBlank="1" showInputMessage="1" showErrorMessage="1" sqref="H2:H1048576" xr:uid="{72A0A087-FB8F-45AC-AB1F-8425C66F05BF}">
      <formula1>"DELETE,MOVE,None,OTHER_ACTION,AMBIGUOUS"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9372-F796-4E57-A9E5-B02F63FBDACC}">
  <dimension ref="A1:I2"/>
  <sheetViews>
    <sheetView workbookViewId="0">
      <selection activeCell="B14" sqref="B14"/>
    </sheetView>
  </sheetViews>
  <sheetFormatPr defaultColWidth="28.4140625" defaultRowHeight="14" x14ac:dyDescent="0.3"/>
  <cols>
    <col min="2" max="2" width="28.4140625" style="4"/>
  </cols>
  <sheetData>
    <row r="1" spans="1:9" x14ac:dyDescent="0.3">
      <c r="A1" s="2" t="s">
        <v>2</v>
      </c>
      <c r="B1" s="3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/>
      <c r="H1" s="2"/>
      <c r="I1" s="2"/>
    </row>
    <row r="2" spans="1:9" x14ac:dyDescent="0.3">
      <c r="A2" s="6" t="s">
        <v>21</v>
      </c>
      <c r="B2" s="7" t="s">
        <v>26</v>
      </c>
      <c r="C2" s="6">
        <v>5</v>
      </c>
      <c r="D2" s="6">
        <v>5</v>
      </c>
      <c r="E2" s="6" t="s">
        <v>27</v>
      </c>
      <c r="F2" s="6" t="s">
        <v>28</v>
      </c>
    </row>
  </sheetData>
  <phoneticPr fontId="1" type="noConversion"/>
  <dataValidations count="2">
    <dataValidation type="list" allowBlank="1" showInputMessage="1" showErrorMessage="1" sqref="B2:B1048576" xr:uid="{4B3E2BE5-780D-4E22-9DAC-8090324AE9E6}">
      <formula1>"0,1-5,6-20,20+"</formula1>
    </dataValidation>
    <dataValidation type="list" allowBlank="1" showInputMessage="1" showErrorMessage="1" sqref="C2:D1048576" xr:uid="{A13C268C-EC85-4349-BC57-E842CB241DE6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Reviews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miox</dc:creator>
  <cp:lastModifiedBy>S H</cp:lastModifiedBy>
  <dcterms:created xsi:type="dcterms:W3CDTF">2015-06-05T18:19:34Z</dcterms:created>
  <dcterms:modified xsi:type="dcterms:W3CDTF">2026-08-30T14:08:06Z</dcterms:modified>
</cp:coreProperties>
</file>